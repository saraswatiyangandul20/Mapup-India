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832\Downloads\MapUp-Data-Assessment-F\"/>
    </mc:Choice>
  </mc:AlternateContent>
  <xr:revisionPtr revIDLastSave="0" documentId="13_ncr:1_{4B97FF6E-18B2-4EC7-A547-25D992D08AEE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20" l="1"/>
  <c r="C29" i="20"/>
  <c r="C30" i="20"/>
  <c r="C31" i="20"/>
  <c r="C32" i="20"/>
  <c r="C33" i="20"/>
  <c r="C34" i="20"/>
  <c r="C35" i="20"/>
  <c r="C23" i="20"/>
  <c r="C24" i="20"/>
  <c r="C25" i="20"/>
  <c r="C26" i="20"/>
  <c r="C27" i="20"/>
  <c r="R6" i="20"/>
  <c r="T6" i="20"/>
  <c r="O6" i="20"/>
  <c r="Q6" i="20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F30" i="18" s="1"/>
  <c r="E6" i="18"/>
  <c r="D6" i="18"/>
  <c r="C6" i="18"/>
  <c r="C30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 a="1"/>
  <c r="C22" i="19" s="1"/>
  <c r="E28" i="18" l="1"/>
  <c r="D28" i="18"/>
  <c r="D29" i="18"/>
  <c r="D30" i="18"/>
  <c r="F28" i="18"/>
  <c r="F29" i="18"/>
  <c r="E30" i="18"/>
  <c r="E29" i="18"/>
  <c r="C29" i="18"/>
  <c r="C28" i="18"/>
  <c r="B28" i="18"/>
  <c r="B30" i="18"/>
  <c r="B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<sst xmlns="http://schemas.openxmlformats.org/spreadsheetml/2006/main" count="403" uniqueCount="180">
  <si>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</si>
  <si>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</si>
  <si>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</si>
  <si>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</si>
  <si>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</si>
  <si>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</si>
  <si>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</si>
  <si>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</si>
  <si>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</si>
  <si>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</si>
  <si>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</si>
  <si>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</si>
  <si>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</si>
  <si>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</si>
  <si>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</si>
  <si>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</si>
  <si>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</si>
  <si>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</si>
  <si>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</si>
  <si>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</si>
  <si>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</si>
  <si>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</si>
  <si>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</si>
  <si>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</si>
  <si>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</si>
  <si>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</si>
  <si>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</si>
  <si>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</si>
  <si>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</si>
  <si>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</si>
  <si>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</si>
  <si>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</si>
  <si>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</si>
  <si>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</si>
  <si>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</si>
  <si>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</si>
  <si>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</si>
  <si>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</si>
  <si>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</si>
  <si>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</si>
  <si>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</si>
  <si>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</si>
  <si>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</si>
  <si>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</si>
  <si>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</si>
  <si>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</si>
  <si>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</si>
  <si>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</si>
  <si>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</si>
  <si>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</si>
  <si>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</si>
  <si>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</si>
  <si>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</si>
  <si>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</si>
  <si>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</si>
  <si>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</si>
  <si>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</si>
  <si>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</si>
  <si>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</si>
  <si>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</si>
  <si>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</si>
  <si>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</si>
  <si>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</si>
  <si>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</si>
  <si>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</si>
  <si>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</si>
  <si>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</si>
  <si>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</si>
  <si>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</si>
  <si>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</si>
  <si>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</si>
  <si>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</si>
  <si>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</si>
  <si>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</si>
  <si>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</si>
  <si>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</si>
  <si>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</si>
  <si>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</si>
  <si>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</si>
  <si>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</si>
  <si>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</si>
  <si>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</si>
  <si>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</si>
  <si>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</si>
  <si>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</si>
  <si>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</si>
  <si>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</si>
  <si>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</si>
  <si>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</si>
  <si>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</si>
  <si>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</si>
  <si>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</si>
  <si>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</si>
  <si>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</si>
  <si>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</si>
  <si>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</si>
  <si>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</si>
  <si>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</si>
  <si>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</si>
  <si>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</si>
  <si>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</si>
  <si>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</si>
  <si>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</si>
  <si>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</si>
  <si>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</si>
  <si>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</si>
  <si>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</si>
  <si>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</si>
  <si>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</si>
  <si>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</si>
  <si>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</si>
  <si>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</si>
  <si>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</si>
  <si>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</si>
  <si>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</si>
  <si>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</si>
  <si>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</si>
  <si>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</si>
  <si>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</si>
  <si>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</si>
  <si>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</si>
  <si>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</si>
  <si>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</si>
  <si>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</si>
  <si>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</si>
  <si>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</si>
  <si>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</si>
  <si>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</si>
  <si>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</si>
  <si>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</si>
  <si>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</si>
  <si>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</si>
  <si>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</si>
  <si>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</si>
  <si>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</si>
  <si>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</si>
  <si>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</si>
  <si>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</si>
  <si>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</si>
  <si>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</si>
  <si>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</si>
  <si>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</si>
  <si>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</si>
  <si>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</si>
  <si>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</si>
  <si>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</si>
  <si>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</si>
  <si>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</si>
  <si>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</si>
  <si>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</si>
  <si>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</si>
  <si>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</si>
  <si>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</si>
  <si>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</si>
  <si>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</si>
  <si>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</si>
  <si>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</si>
  <si>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</si>
  <si>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</si>
  <si>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</si>
  <si>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</si>
  <si>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</si>
  <si>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</si>
  <si>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</si>
  <si>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</si>
  <si>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</si>
  <si>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</si>
  <si>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</si>
  <si>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</si>
  <si>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</si>
  <si>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</si>
  <si>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</si>
  <si>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</si>
  <si>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</si>
  <si>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</si>
  <si>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</si>
  <si>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</si>
  <si>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=SUM(IFERROR(value,value_if_error))</t>
  </si>
  <si>
    <t>This function evaluates each value in the given range. If any value produces an error (like #N/A), it substitutes the error with the designated value '20'. For values without errors, it retains the original value. Finally, the function computes the sum of the adjusted range.</t>
  </si>
  <si>
    <t>=SUMIF(H2:H40,"&gt;20",H2:H40)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</si>
</sst>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 &quot;₹&quot;\ * #,##0.00_ ;_ &quot;₹&quot;\ * \-#,##0.00_ ;_ &quot;₹&quot;\ * &quot;-&quot;??_ ;_ @_ "/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49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4" fillId="0" borderId="0" xfId="0" quotePrefix="1" applyFont="1"/>
    <xf numFmtId="0" fontId="1" fillId="0" borderId="0" xfId="0" applyFont="1"/>
    <xf numFmtId="166" fontId="8" fillId="0" borderId="0" xfId="0" applyNumberFormat="1" applyFont="1"/>
    <xf numFmtId="166" fontId="4" fillId="0" borderId="0" xfId="0" applyNumberFormat="1" applyFont="1"/>
    <xf numFmtId="44" fontId="8" fillId="2" borderId="0" xfId="0" applyNumberFormat="1" applyFont="1" applyFill="1"/>
    <xf numFmtId="0" fontId="15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00FF00"/>
      </font>
    </dxf>
    <dxf>
      <font>
        <color rgb="FF9C0006"/>
      </font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colors>
    <mruColors>
      <color rgb="FF00FF00"/>
      <color rgb="FF44E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5" sqref="A5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O1" zoomScaleNormal="100" workbookViewId="0">
      <pane ySplit="1" topLeftCell="A2" activePane="bottomLeft" state="frozen"/>
      <selection activeCell="M1" sqref="M1"/>
      <selection pane="bottomLeft" activeCell="N2" sqref="N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12" width="12.796875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47" t="s">
        <v>65</v>
      </c>
      <c r="I1" s="29" t="s">
        <v>66</v>
      </c>
      <c r="J1" s="29" t="s">
        <v>67</v>
      </c>
      <c r="K1" s="29" t="s">
        <v>68</v>
      </c>
      <c r="L1" s="29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29 A33:A1048576">
    <cfRule type="duplicateValues" dxfId="8" priority="14"/>
  </conditionalFormatting>
  <conditionalFormatting sqref="B1:B29 B33:B1048576">
    <cfRule type="duplicateValues" dxfId="7" priority="13"/>
  </conditionalFormatting>
  <conditionalFormatting sqref="A1:C29 M1:XFD29 M33:XFD1048576 A33:C1048576 E33:I1048576 E1:I29">
    <cfRule type="cellIs" dxfId="6" priority="9" operator="equal">
      <formula>-1</formula>
    </cfRule>
    <cfRule type="cellIs" dxfId="5" priority="10" operator="equal">
      <formula>-1</formula>
    </cfRule>
    <cfRule type="cellIs" dxfId="4" priority="11" operator="equal">
      <formula>-1</formula>
    </cfRule>
    <cfRule type="cellIs" dxfId="3" priority="12" operator="equal">
      <formula>-1</formula>
    </cfRule>
  </conditionalFormatting>
  <conditionalFormatting sqref="A1:C29 A33:C1048576 E33:XFD1048576 E1:XFD29">
    <cfRule type="cellIs" dxfId="2" priority="4" operator="equal">
      <formula>-1</formula>
    </cfRule>
  </conditionalFormatting>
  <conditionalFormatting sqref="A30:C32 E30:XFD32">
    <cfRule type="cellIs" dxfId="1" priority="3" operator="equal">
      <formula>-1</formula>
    </cfRule>
  </conditionalFormatting>
  <conditionalFormatting sqref="A1:C1048576 E1:XFD1048576"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8" sqref="C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48" t="s">
        <v>179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C8" sqref="C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VLOOKUP(A6,Dataset!A1:X40, 7, 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5" x14ac:dyDescent="0.35">
      <c r="A7" s="7" t="s">
        <v>4</v>
      </c>
      <c r="B7" s="12">
        <f>VLOOKUP(A7,Dataset!A2:X41, 7, 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5" x14ac:dyDescent="0.35">
      <c r="A8" s="7" t="s">
        <v>7</v>
      </c>
      <c r="B8" s="12">
        <f>VLOOKUP(A8,Dataset!A3:X42, 7, 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5" x14ac:dyDescent="0.35">
      <c r="A9" s="7" t="s">
        <v>8</v>
      </c>
      <c r="B9" s="12">
        <f>VLOOKUP(A9,Dataset!A4:X43, 7, 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5" x14ac:dyDescent="0.35">
      <c r="A10" s="7" t="s">
        <v>11</v>
      </c>
      <c r="B10" s="12">
        <f>VLOOKUP(A10,Dataset!A5:X44, 7, 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5" x14ac:dyDescent="0.35">
      <c r="A11" s="7" t="s">
        <v>12</v>
      </c>
      <c r="B11" s="12">
        <f>VLOOKUP(A11,Dataset!A6:X45, 7, 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5" x14ac:dyDescent="0.35">
      <c r="A12" s="7" t="s">
        <v>14</v>
      </c>
      <c r="B12" s="12">
        <f>VLOOKUP(A12,Dataset!A7:X46, 7, 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5" x14ac:dyDescent="0.35">
      <c r="A13" s="7" t="s">
        <v>15</v>
      </c>
      <c r="B13" s="12">
        <f>VLOOKUP(A13,Dataset!A8:X47, 7, 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5" x14ac:dyDescent="0.35">
      <c r="A14" s="7" t="s">
        <v>16</v>
      </c>
      <c r="B14" s="12">
        <f>VLOOKUP(A14,Dataset!A9:X48, 7, 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5" x14ac:dyDescent="0.35">
      <c r="A15" s="7" t="s">
        <v>18</v>
      </c>
      <c r="B15" s="12">
        <f>VLOOKUP(A15,Dataset!A10:X49, 7, 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5" x14ac:dyDescent="0.35">
      <c r="A16" s="7" t="s">
        <v>20</v>
      </c>
      <c r="B16" s="12">
        <f>VLOOKUP(A16,Dataset!A11:X50, 7, 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5" x14ac:dyDescent="0.35">
      <c r="A17" s="7" t="s">
        <v>22</v>
      </c>
      <c r="B17" s="12">
        <f>VLOOKUP(A17,Dataset!A12:X51, 7, 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5" x14ac:dyDescent="0.35">
      <c r="A18" s="7" t="s">
        <v>23</v>
      </c>
      <c r="B18" s="12">
        <f>VLOOKUP(A18,Dataset!A13:X52, 7, 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5" x14ac:dyDescent="0.35">
      <c r="A19" s="7" t="s">
        <v>24</v>
      </c>
      <c r="B19" s="12">
        <f>VLOOKUP(A19,Dataset!A14:X53, 7, 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5" x14ac:dyDescent="0.35">
      <c r="A20" s="7" t="s">
        <v>28</v>
      </c>
      <c r="B20" s="12">
        <f>VLOOKUP(A20,Dataset!A15:X54, 7, 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5" x14ac:dyDescent="0.35">
      <c r="A21" s="7" t="s">
        <v>57</v>
      </c>
      <c r="B21" s="12">
        <f>VLOOKUP(A21,Dataset!A16:X55, 7, 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5" x14ac:dyDescent="0.35">
      <c r="A22" s="7" t="s">
        <v>58</v>
      </c>
      <c r="B22" s="12">
        <f>VLOOKUP(A22,Dataset!A17:X56, 7, 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5" x14ac:dyDescent="0.35">
      <c r="A23" s="7" t="s">
        <v>31</v>
      </c>
      <c r="B23" s="12">
        <f>VLOOKUP(A23,Dataset!A18:X57, 7, 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5" x14ac:dyDescent="0.35">
      <c r="A24" s="7" t="s">
        <v>32</v>
      </c>
      <c r="B24" s="12">
        <f>VLOOKUP(A24,Dataset!A19:X58, 7, 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5" x14ac:dyDescent="0.35">
      <c r="A25" s="7" t="s">
        <v>34</v>
      </c>
      <c r="B25" s="12">
        <f>VLOOKUP(A25,Dataset!A20:X59, 7, 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5" x14ac:dyDescent="0.35">
      <c r="A26" s="7" t="s">
        <v>37</v>
      </c>
      <c r="B26" s="12">
        <f>VLOOKUP(A26,Dataset!A21:X60, 7, 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5" x14ac:dyDescent="0.35">
      <c r="A27" s="7" t="s">
        <v>39</v>
      </c>
      <c r="B27" s="12">
        <f>VLOOKUP(A27,Dataset!A22:X61, 7, 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 t="shared" ref="C28:E28" si="0">MIN(C6:C27)</f>
        <v>-1</v>
      </c>
      <c r="D28" s="31">
        <f t="shared" si="0"/>
        <v>-1</v>
      </c>
      <c r="E28" s="31">
        <f t="shared" si="0"/>
        <v>-1</v>
      </c>
      <c r="F28" s="31">
        <f>MIN(F6:F27)</f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3" zoomScaleNormal="100" workbookViewId="0">
      <selection activeCell="G18" sqref="G1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153</v>
      </c>
      <c r="B6" s="39"/>
    </row>
    <row r="7" spans="1:10" ht="18.5" x14ac:dyDescent="0.45">
      <c r="A7" s="42"/>
      <c r="B7" s="39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43" t="s">
        <v>177</v>
      </c>
    </row>
    <row r="7" spans="1:3" ht="14.5" x14ac:dyDescent="0.35">
      <c r="A7" s="3" t="s">
        <v>153</v>
      </c>
      <c r="B7" s="44" t="s">
        <v>178</v>
      </c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 t="e">
        <v>#N/A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2" cm="1">
        <f t="array" ref="C22">SUM(IFERROR(C12:C21,20))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T35"/>
  <sheetViews>
    <sheetView tabSelected="1" topLeftCell="A11" zoomScale="77" zoomScaleNormal="100" workbookViewId="0">
      <selection activeCell="E27" sqref="E2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20" ht="21" x14ac:dyDescent="0.5">
      <c r="A1" s="41" t="s">
        <v>98</v>
      </c>
      <c r="B1" s="40" t="s">
        <v>175</v>
      </c>
    </row>
    <row r="3" spans="1:20" ht="14.5" x14ac:dyDescent="0.35">
      <c r="B3" s="1" t="s">
        <v>151</v>
      </c>
    </row>
    <row r="4" spans="1:20" ht="18.5" x14ac:dyDescent="0.45">
      <c r="A4" s="42" t="s">
        <v>53</v>
      </c>
      <c r="B4" s="1"/>
    </row>
    <row r="5" spans="1:20" ht="18.5" x14ac:dyDescent="0.45">
      <c r="A5" s="42" t="s">
        <v>153</v>
      </c>
      <c r="B5" s="1"/>
    </row>
    <row r="6" spans="1:20" ht="14.5" x14ac:dyDescent="0.35">
      <c r="A6" s="3"/>
      <c r="B6" s="1"/>
      <c r="O6" s="2" t="str">
        <f>VLOOKUP(A23,M9:N18,2,0)</f>
        <v>A</v>
      </c>
      <c r="Q6" s="2" t="str">
        <f>VLOOKUP(B23,M9:N18,2,0)</f>
        <v>B</v>
      </c>
      <c r="R6" s="2">
        <f>VLOOKUP((VLOOKUP(A23,M9:N18,2,0)),A9:J18,2,0)</f>
        <v>-1</v>
      </c>
      <c r="T6" s="2">
        <f>VLOOKUP((VLOOKUP(B23,M9:N18,2,0)),A9:J18,2,0)</f>
        <v>95</v>
      </c>
    </row>
    <row r="8" spans="1:20" ht="23.5" x14ac:dyDescent="0.55000000000000004">
      <c r="A8" s="18" t="s">
        <v>162</v>
      </c>
      <c r="M8" s="18" t="s">
        <v>163</v>
      </c>
    </row>
    <row r="9" spans="1:20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20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20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20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20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20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20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20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2">
        <f t="shared" ref="C23:C35" si="0">IF(AND(VLOOKUP((VLOOKUP(A23,M6:N15,2,0)),A6:J15,2,0)),(VLOOKUP((VLOOKUP(B23,M9:N18,2,0)),A9:J18,2,0)))</f>
        <v>95</v>
      </c>
    </row>
    <row r="24" spans="1:14" ht="14.5" x14ac:dyDescent="0.35">
      <c r="A24" s="7">
        <v>10100</v>
      </c>
      <c r="B24" s="12">
        <v>10104</v>
      </c>
      <c r="C24" s="2">
        <f t="shared" si="0"/>
        <v>-1</v>
      </c>
    </row>
    <row r="25" spans="1:14" ht="14.5" x14ac:dyDescent="0.35">
      <c r="A25" s="7">
        <v>10108</v>
      </c>
      <c r="B25" s="12">
        <v>10102</v>
      </c>
      <c r="C25" s="2">
        <f t="shared" si="0"/>
        <v>95</v>
      </c>
    </row>
    <row r="26" spans="1:14" ht="14.5" x14ac:dyDescent="0.35">
      <c r="A26" s="7">
        <v>10100</v>
      </c>
      <c r="B26" s="12">
        <v>10106</v>
      </c>
      <c r="C26" s="2">
        <f t="shared" si="0"/>
        <v>185</v>
      </c>
    </row>
    <row r="27" spans="1:14" ht="14.5" x14ac:dyDescent="0.35">
      <c r="A27" s="7">
        <v>10108</v>
      </c>
      <c r="B27" s="12">
        <v>10110</v>
      </c>
      <c r="C27" s="2">
        <f t="shared" ref="C27:C36" si="1">IF(AND(VLOOKUP((VLOOKUP(A27,M10:N19,2,0)),A10:J19,2,0)),(VLOOKUP((VLOOKUP(B27,M13:N22,2,0)),A13:J22,2,0)))</f>
        <v>305</v>
      </c>
    </row>
    <row r="28" spans="1:14" ht="14.5" x14ac:dyDescent="0.35">
      <c r="A28" s="7">
        <v>10102</v>
      </c>
      <c r="B28" s="12">
        <v>10104</v>
      </c>
      <c r="C28" s="2" t="e">
        <f t="shared" si="0"/>
        <v>#N/A</v>
      </c>
    </row>
    <row r="29" spans="1:14" ht="14.5" x14ac:dyDescent="0.35">
      <c r="A29" s="7">
        <v>10106</v>
      </c>
      <c r="B29" s="12">
        <v>10108</v>
      </c>
      <c r="C29" s="2" t="e">
        <f t="shared" si="0"/>
        <v>#N/A</v>
      </c>
    </row>
    <row r="30" spans="1:14" ht="14.5" x14ac:dyDescent="0.35">
      <c r="A30" s="7">
        <v>10102</v>
      </c>
      <c r="B30" s="12">
        <v>10106</v>
      </c>
      <c r="C30" s="2" t="e">
        <f t="shared" si="0"/>
        <v>#N/A</v>
      </c>
    </row>
    <row r="31" spans="1:14" ht="14.5" x14ac:dyDescent="0.35">
      <c r="A31" s="7">
        <v>10110</v>
      </c>
      <c r="B31" s="12">
        <v>10114</v>
      </c>
      <c r="C31" s="2">
        <f t="shared" si="0"/>
        <v>480</v>
      </c>
    </row>
    <row r="32" spans="1:14" ht="14.5" x14ac:dyDescent="0.35">
      <c r="A32" s="7">
        <v>10104</v>
      </c>
      <c r="B32" s="12">
        <v>10106</v>
      </c>
      <c r="C32" s="2" t="e">
        <f t="shared" si="1"/>
        <v>#N/A</v>
      </c>
    </row>
    <row r="33" spans="1:3" ht="14.5" x14ac:dyDescent="0.35">
      <c r="A33" s="7">
        <v>10110</v>
      </c>
      <c r="B33" s="12">
        <v>10112</v>
      </c>
      <c r="C33" s="2" t="e">
        <f t="shared" si="0"/>
        <v>#N/A</v>
      </c>
    </row>
    <row r="34" spans="1:3" ht="14.5" x14ac:dyDescent="0.35">
      <c r="A34" s="7">
        <v>10100</v>
      </c>
      <c r="B34" s="12">
        <v>10114</v>
      </c>
      <c r="C34" s="2" t="e">
        <f t="shared" si="0"/>
        <v>#N/A</v>
      </c>
    </row>
    <row r="35" spans="1:3" ht="14.5" x14ac:dyDescent="0.35">
      <c r="A35" s="9">
        <v>10112</v>
      </c>
      <c r="B35" s="13">
        <v>10116</v>
      </c>
      <c r="C35" s="2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Saraswati Yangandul</cp:lastModifiedBy>
  <dcterms:created xsi:type="dcterms:W3CDTF">2015-02-10T17:33:11Z</dcterms:created>
  <dcterms:modified xsi:type="dcterms:W3CDTF">2023-12-11T18:31:54Z</dcterms:modified>
</cp:coreProperties>
</file>